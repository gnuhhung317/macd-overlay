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de\Projects\self-projects\macd-overlay\ml\"/>
    </mc:Choice>
  </mc:AlternateContent>
  <xr:revisionPtr revIDLastSave="0" documentId="13_ncr:1_{DE17E3EF-BBBC-435C-9691-478C0A373A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e_Journal" sheetId="1" r:id="rId1"/>
    <sheet name="Dashboard" sheetId="2" r:id="rId2"/>
    <sheet name="Formulas_Reference" sheetId="3" r:id="rId3"/>
    <sheet name="Risk_Manage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D7" i="4" s="1"/>
  <c r="D6" i="4"/>
  <c r="C6" i="4"/>
  <c r="C5" i="4"/>
  <c r="D5" i="4" s="1"/>
  <c r="C4" i="4"/>
  <c r="D4" i="4" s="1"/>
  <c r="C3" i="4"/>
  <c r="D3" i="4" s="1"/>
  <c r="C2" i="4"/>
  <c r="D2" i="4" s="1"/>
  <c r="B7" i="3"/>
  <c r="B6" i="3"/>
  <c r="B5" i="3"/>
  <c r="B4" i="3"/>
  <c r="B3" i="3"/>
  <c r="B2" i="3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<sst xmlns="http://schemas.openxmlformats.org/spreadsheetml/2006/main" count="104" uniqueCount="95">
  <si>
    <t>Entry_Date</t>
  </si>
  <si>
    <t>Entry_Time</t>
  </si>
  <si>
    <t>Symbol</t>
  </si>
  <si>
    <t>Timeframe</t>
  </si>
  <si>
    <t>Direction</t>
  </si>
  <si>
    <t>Entry_Price</t>
  </si>
  <si>
    <t>SL_Price</t>
  </si>
  <si>
    <t>TP_Price</t>
  </si>
  <si>
    <t>Position_Size</t>
  </si>
  <si>
    <t>ML_Confidence</t>
  </si>
  <si>
    <t>Status</t>
  </si>
  <si>
    <t>Timeout_Date</t>
  </si>
  <si>
    <t>Timeout_Time</t>
  </si>
  <si>
    <t>Exit_Date</t>
  </si>
  <si>
    <t>Exit_Time</t>
  </si>
  <si>
    <t>Exit_Price</t>
  </si>
  <si>
    <t>PnL_USD</t>
  </si>
  <si>
    <t>PnL_Percent</t>
  </si>
  <si>
    <t>Exit_Reason</t>
  </si>
  <si>
    <t>Notes</t>
  </si>
  <si>
    <t>14:30</t>
  </si>
  <si>
    <t>BTCUSDT</t>
  </si>
  <si>
    <t>4h</t>
  </si>
  <si>
    <t>LONG</t>
  </si>
  <si>
    <t>OPEN</t>
  </si>
  <si>
    <t>06:30</t>
  </si>
  <si>
    <t>MACD xoay tăng + RSI oversold</t>
  </si>
  <si>
    <t>08:00</t>
  </si>
  <si>
    <t>ETHUSDT</t>
  </si>
  <si>
    <t>1d</t>
  </si>
  <si>
    <t>SHORT</t>
  </si>
  <si>
    <t>CLOSED</t>
  </si>
  <si>
    <t>12:30</t>
  </si>
  <si>
    <t>TP_HIT</t>
  </si>
  <si>
    <t>Perfect entry setup</t>
  </si>
  <si>
    <t>16:00</t>
  </si>
  <si>
    <t>ADAUSDT</t>
  </si>
  <si>
    <t>8h</t>
  </si>
  <si>
    <t>00:00</t>
  </si>
  <si>
    <t>SL_HIT</t>
  </si>
  <si>
    <t>False breakout</t>
  </si>
  <si>
    <t>12:00</t>
  </si>
  <si>
    <t>SOLUSDT</t>
  </si>
  <si>
    <t>12h</t>
  </si>
  <si>
    <t>TIMEOUT</t>
  </si>
  <si>
    <t>Held too long but still profit</t>
  </si>
  <si>
    <t>Metric</t>
  </si>
  <si>
    <t>Value</t>
  </si>
  <si>
    <t>Formula_Description</t>
  </si>
  <si>
    <t>Total Trades</t>
  </si>
  <si>
    <t>Count all trades</t>
  </si>
  <si>
    <t>Active Trades</t>
  </si>
  <si>
    <t>Open positions count</t>
  </si>
  <si>
    <t>Closed Trades</t>
  </si>
  <si>
    <t>Completed trades</t>
  </si>
  <si>
    <t>Overdue Trades</t>
  </si>
  <si>
    <t>Trades past timeout</t>
  </si>
  <si>
    <t>Win Rate (%)</t>
  </si>
  <si>
    <t>Percentage of winning trades</t>
  </si>
  <si>
    <t>Total PnL ($)</t>
  </si>
  <si>
    <t>Total profit/loss</t>
  </si>
  <si>
    <t>Avg Trade ($)</t>
  </si>
  <si>
    <t>Average per trade</t>
  </si>
  <si>
    <t>Best Trade ($)</t>
  </si>
  <si>
    <t>Best single trade</t>
  </si>
  <si>
    <t>Worst Trade ($)</t>
  </si>
  <si>
    <t>Worst single trade</t>
  </si>
  <si>
    <t>This Week PnL ($)</t>
  </si>
  <si>
    <t>Last 7 days PnL</t>
  </si>
  <si>
    <t>This Month PnL ($)</t>
  </si>
  <si>
    <t>Current month PnL</t>
  </si>
  <si>
    <t>Column</t>
  </si>
  <si>
    <t>Formula</t>
  </si>
  <si>
    <t>Description</t>
  </si>
  <si>
    <t>L (Timeout_Date)</t>
  </si>
  <si>
    <t>Auto calculate timeout date based on timeframe</t>
  </si>
  <si>
    <t>M (Timeout_Time)</t>
  </si>
  <si>
    <t>Calculate timeout time (for intraday timeframes)</t>
  </si>
  <si>
    <t>Q (PnL_USD)</t>
  </si>
  <si>
    <t>Calculate PnL in USD (+ for profit, - for loss)</t>
  </si>
  <si>
    <t>R (PnL_Percent)</t>
  </si>
  <si>
    <t>Calculate PnL percentage</t>
  </si>
  <si>
    <t>Risk_Alert</t>
  </si>
  <si>
    <t>Risk level based on position size</t>
  </si>
  <si>
    <t>Confidence_Alert</t>
  </si>
  <si>
    <t>Confidence level indicator</t>
  </si>
  <si>
    <t>Risk_Rule</t>
  </si>
  <si>
    <t>Limit</t>
  </si>
  <si>
    <t>Current</t>
  </si>
  <si>
    <t>Max Position Size</t>
  </si>
  <si>
    <t>Max Risk per Trade</t>
  </si>
  <si>
    <t>Max Daily Loss</t>
  </si>
  <si>
    <t>Max Open Trades</t>
  </si>
  <si>
    <t>Min Confidence</t>
  </si>
  <si>
    <t>Max Drawdown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</si>
</sst>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L16" sqref="L16"/>
    </sheetView>
  </sheetViews>
  <sheetFormatPr defaultRowHeight="13.8" x14ac:dyDescent="0.25"/>
  <cols>
    <col min="13" max="13" width="13.199218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46066</v>
      </c>
      <c r="B2" t="s">
        <v>20</v>
      </c>
      <c r="C2" t="s">
        <v>21</v>
      </c>
      <c r="D2" t="s">
        <v>22</v>
      </c>
      <c r="E2" t="s">
        <v>23</v>
      </c>
      <c r="F2">
        <v>42500</v>
      </c>
      <c r="G2">
        <v>41650</v>
      </c>
      <c r="H2">
        <v>44200</v>
      </c>
      <c r="I2">
        <v>1000</v>
      </c>
      <c r="J2">
        <v>0.78</v>
      </c>
      <c r="K2" t="s">
        <v>24</v>
      </c>
      <c r="L2" s="2">
        <v>46068</v>
      </c>
      <c r="M2" t="s">
        <v>25</v>
      </c>
      <c r="T2" t="s">
        <v>26</v>
      </c>
    </row>
    <row r="3" spans="1:20" x14ac:dyDescent="0.25">
      <c r="A3" s="2">
        <v>46065</v>
      </c>
      <c r="B3" t="s">
        <v>27</v>
      </c>
      <c r="C3" t="s">
        <v>28</v>
      </c>
      <c r="D3" t="s">
        <v>29</v>
      </c>
      <c r="E3" t="s">
        <v>30</v>
      </c>
      <c r="F3">
        <v>2100</v>
      </c>
      <c r="G3">
        <v>2142</v>
      </c>
      <c r="H3">
        <v>2016</v>
      </c>
      <c r="I3">
        <v>800</v>
      </c>
      <c r="J3">
        <v>0.82</v>
      </c>
      <c r="K3" t="s">
        <v>31</v>
      </c>
      <c r="L3" s="2">
        <v>46075</v>
      </c>
      <c r="M3" t="s">
        <v>27</v>
      </c>
      <c r="N3" s="2">
        <v>46068</v>
      </c>
      <c r="O3" t="s">
        <v>32</v>
      </c>
      <c r="P3">
        <v>2016</v>
      </c>
      <c r="Q3">
        <v>64</v>
      </c>
      <c r="R3">
        <v>4</v>
      </c>
      <c r="S3" t="s">
        <v>33</v>
      </c>
      <c r="T3" t="s">
        <v>34</v>
      </c>
    </row>
    <row r="4" spans="1:20" x14ac:dyDescent="0.25">
      <c r="A4" s="2">
        <v>46064</v>
      </c>
      <c r="B4" t="s">
        <v>35</v>
      </c>
      <c r="C4" t="s">
        <v>36</v>
      </c>
      <c r="D4" t="s">
        <v>37</v>
      </c>
      <c r="E4" t="s">
        <v>23</v>
      </c>
      <c r="F4">
        <v>0.45</v>
      </c>
      <c r="G4">
        <v>0.441</v>
      </c>
      <c r="H4">
        <v>0.46800000000000003</v>
      </c>
      <c r="I4">
        <v>500</v>
      </c>
      <c r="J4">
        <v>0.71</v>
      </c>
      <c r="K4" t="s">
        <v>31</v>
      </c>
      <c r="L4" s="2">
        <v>46068</v>
      </c>
      <c r="M4" t="s">
        <v>38</v>
      </c>
      <c r="N4" s="2">
        <v>46066</v>
      </c>
      <c r="O4" t="s">
        <v>27</v>
      </c>
      <c r="P4">
        <v>0.441</v>
      </c>
      <c r="Q4">
        <v>-9</v>
      </c>
      <c r="R4">
        <v>-2</v>
      </c>
      <c r="S4" t="s">
        <v>39</v>
      </c>
      <c r="T4" t="s">
        <v>40</v>
      </c>
    </row>
    <row r="5" spans="1:20" x14ac:dyDescent="0.25">
      <c r="A5" s="2">
        <v>46063</v>
      </c>
      <c r="B5" t="s">
        <v>41</v>
      </c>
      <c r="C5" t="s">
        <v>42</v>
      </c>
      <c r="D5" t="s">
        <v>43</v>
      </c>
      <c r="E5" t="s">
        <v>30</v>
      </c>
      <c r="F5">
        <v>95.5</v>
      </c>
      <c r="G5">
        <v>97.3</v>
      </c>
      <c r="H5">
        <v>91.4</v>
      </c>
      <c r="I5">
        <v>1200</v>
      </c>
      <c r="J5">
        <v>0.85</v>
      </c>
      <c r="K5" t="s">
        <v>44</v>
      </c>
      <c r="L5" s="2">
        <v>46068</v>
      </c>
      <c r="M5" t="s">
        <v>41</v>
      </c>
      <c r="N5" s="2">
        <v>46068</v>
      </c>
      <c r="O5" t="s">
        <v>41</v>
      </c>
      <c r="P5">
        <v>93.2</v>
      </c>
      <c r="Q5">
        <v>27.6</v>
      </c>
      <c r="R5">
        <v>2.2999999999999998</v>
      </c>
      <c r="S5" t="s">
        <v>44</v>
      </c>
      <c r="T5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3.8" x14ac:dyDescent="0.25"/>
  <sheetData>
    <row r="1" spans="1:3" x14ac:dyDescent="0.25">
      <c r="A1" s="1" t="s">
        <v>46</v>
      </c>
      <c r="B1" s="1" t="s">
        <v>47</v>
      </c>
      <c r="C1" s="1" t="s">
        <v>48</v>
      </c>
    </row>
    <row r="2" spans="1:3" x14ac:dyDescent="0.25">
      <c r="A2" t="s">
        <v>49</v>
      </c>
      <c r="B2">
        <f>COUNTA(Trade_Journal!A:A)-1</f>
        <v>4</v>
      </c>
      <c r="C2" t="s">
        <v>50</v>
      </c>
    </row>
    <row r="3" spans="1:3" x14ac:dyDescent="0.25">
      <c r="A3" t="s">
        <v>51</v>
      </c>
      <c r="B3">
        <f>COUNTIF(Trade_Journal!K:K,"OPEN")</f>
        <v>1</v>
      </c>
      <c r="C3" t="s">
        <v>52</v>
      </c>
    </row>
    <row r="4" spans="1:3" x14ac:dyDescent="0.25">
      <c r="A4" t="s">
        <v>53</v>
      </c>
      <c r="B4">
        <f>COUNTIF(Trade_Journal!K:K,"CLOSED")</f>
        <v>2</v>
      </c>
      <c r="C4" t="s">
        <v>54</v>
      </c>
    </row>
    <row r="5" spans="1:3" x14ac:dyDescent="0.25">
      <c r="A5" t="s">
        <v>55</v>
      </c>
      <c r="B5">
        <f ca="1">SUMPRODUCT((Trade_Journal!K:K="OPEN")*(TODAY()&gt;Trade_Journal!L:L))</f>
        <v>0</v>
      </c>
      <c r="C5" t="s">
        <v>56</v>
      </c>
    </row>
    <row r="6" spans="1:3" x14ac:dyDescent="0.25">
      <c r="A6" t="s">
        <v>57</v>
      </c>
      <c r="B6">
        <f>IFERROR(COUNTIFS(Trade_Journal!K:K,"CLOSED",Trade_Journal!Q:Q,"&gt;0")/COUNTIF(Trade_Journal!K:K,"CLOSED")*100,0)</f>
        <v>50</v>
      </c>
      <c r="C6" t="s">
        <v>58</v>
      </c>
    </row>
    <row r="7" spans="1:3" x14ac:dyDescent="0.25">
      <c r="A7" t="s">
        <v>59</v>
      </c>
      <c r="B7">
        <f>SUMIF(Trade_Journal!K:K,"CLOSED",Trade_Journal!Q:Q)</f>
        <v>55</v>
      </c>
      <c r="C7" t="s">
        <v>60</v>
      </c>
    </row>
    <row r="8" spans="1:3" x14ac:dyDescent="0.25">
      <c r="A8" t="s">
        <v>61</v>
      </c>
      <c r="B8">
        <f>IFERROR(AVERAGEIF(Trade_Journal!K:K,"CLOSED",Trade_Journal!Q:Q),0)</f>
        <v>27.5</v>
      </c>
      <c r="C8" t="s">
        <v>62</v>
      </c>
    </row>
    <row r="9" spans="1:3" x14ac:dyDescent="0.25">
      <c r="A9" t="s">
        <v>63</v>
      </c>
      <c r="B9">
        <f ca="1">IFERROR(_xludf.MAXIFS(Trade_Journal!Q:Q,Trade_Journal!K:K,"CLOSED"),0)</f>
        <v>0</v>
      </c>
      <c r="C9" t="s">
        <v>64</v>
      </c>
    </row>
    <row r="10" spans="1:3" x14ac:dyDescent="0.25">
      <c r="A10" t="s">
        <v>65</v>
      </c>
      <c r="B10">
        <f ca="1">IFERROR(_xludf.MINIFS(Trade_Journal!Q:Q,Trade_Journal!K:K,"CLOSED"),0)</f>
        <v>0</v>
      </c>
      <c r="C10" t="s">
        <v>66</v>
      </c>
    </row>
    <row r="11" spans="1:3" x14ac:dyDescent="0.25">
      <c r="A11" t="s">
        <v>67</v>
      </c>
      <c r="B11">
        <f ca="1">SUMIFS(Trade_Journal!Q:Q,Trade_Journal!N:N,"&gt;="&amp;TODAY()-7,Trade_Journal!K:K,"CLOSED")</f>
        <v>55</v>
      </c>
      <c r="C11" t="s">
        <v>68</v>
      </c>
    </row>
    <row r="12" spans="1:3" x14ac:dyDescent="0.25">
      <c r="A12" t="s">
        <v>69</v>
      </c>
      <c r="B12">
        <f ca="1">SUMIFS(Trade_Journal!Q:Q,Trade_Journal!N:N,"&gt;="&amp;EOMONTH(TODAY(),-1)+1,Trade_Journal!K:K,"CLOSED")</f>
        <v>55</v>
      </c>
      <c r="C12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3.8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 t="s">
        <v>74</v>
      </c>
      <c r="B2" t="e">
        <f ca="1">_xludf.SWITCH(D2,"1h",A2+(10/24),"4h",A2+(40/24),"8h",A2+(80/24),"12h",A2+(120/24),"1d",A2+10,A2+10)</f>
        <v>#NAME?</v>
      </c>
      <c r="C2" t="s">
        <v>75</v>
      </c>
    </row>
    <row r="3" spans="1:3" x14ac:dyDescent="0.25">
      <c r="A3" t="s">
        <v>76</v>
      </c>
      <c r="B3" t="e">
        <f ca="1">_xludf.SWITCH(D2,"1h",TIME(10,0,0),"4h",TIME(16,0,0),"8h",TIME(0,0,0),"12h",TIME(0,0,0),"1d",TIME(0,0,0),TIME(0,0,0))</f>
        <v>#NAME?</v>
      </c>
      <c r="C3" t="s">
        <v>77</v>
      </c>
    </row>
    <row r="4" spans="1:3" x14ac:dyDescent="0.25">
      <c r="A4" t="s">
        <v>78</v>
      </c>
      <c r="B4" t="e">
        <f>IF(E2="LONG",(P2-F2)/F2*I2,(F2-P2)/F2*I2)</f>
        <v>#DIV/0!</v>
      </c>
      <c r="C4" t="s">
        <v>79</v>
      </c>
    </row>
    <row r="5" spans="1:3" x14ac:dyDescent="0.25">
      <c r="A5" t="s">
        <v>80</v>
      </c>
      <c r="B5" t="e">
        <f>IF(E2="LONG",(P2-F2)/F2*100,(F2-P2)/F2*100)</f>
        <v>#DIV/0!</v>
      </c>
      <c r="C5" t="s">
        <v>81</v>
      </c>
    </row>
    <row r="6" spans="1:3" x14ac:dyDescent="0.25">
      <c r="A6" t="s">
        <v>82</v>
      </c>
      <c r="B6" t="str">
        <f>IF(I2&gt;1000,"⚠️ Large",IF(I2&gt;500,"⚡ Medium","✅ Safe"))</f>
        <v>✅ Safe</v>
      </c>
      <c r="C6" t="s">
        <v>83</v>
      </c>
    </row>
    <row r="7" spans="1:3" x14ac:dyDescent="0.25">
      <c r="A7" t="s">
        <v>84</v>
      </c>
      <c r="B7" t="str">
        <f>IF(J2&gt;=0.8,"🔥 High",IF(J2&gt;=0.65,"👍 Good","⚠️ Low"))</f>
        <v>⚠️ Low</v>
      </c>
      <c r="C7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3.8" x14ac:dyDescent="0.25"/>
  <sheetData>
    <row r="1" spans="1:4" x14ac:dyDescent="0.25">
      <c r="A1" s="1" t="s">
        <v>86</v>
      </c>
      <c r="B1" s="1" t="s">
        <v>87</v>
      </c>
      <c r="C1" s="1" t="s">
        <v>88</v>
      </c>
      <c r="D1" s="1" t="s">
        <v>10</v>
      </c>
    </row>
    <row r="2" spans="1:4" x14ac:dyDescent="0.25">
      <c r="A2" t="s">
        <v>89</v>
      </c>
      <c r="B2">
        <v>1500</v>
      </c>
      <c r="C2">
        <f>MAX(Trade_Journal!I:I)</f>
        <v>1200</v>
      </c>
      <c r="D2" t="str">
        <f>IF(C2&gt;B2,"❌ BREACH","✅ OK")</f>
        <v>✅ OK</v>
      </c>
    </row>
    <row r="3" spans="1:4" x14ac:dyDescent="0.25">
      <c r="A3" t="s">
        <v>90</v>
      </c>
      <c r="B3">
        <v>100</v>
      </c>
      <c r="C3">
        <f>MAX(Trade_Journal!Q:Q)</f>
        <v>64</v>
      </c>
      <c r="D3" t="str">
        <f>IF(C3&gt;B3,"❌ BREACH","✅ OK")</f>
        <v>✅ OK</v>
      </c>
    </row>
    <row r="4" spans="1:4" x14ac:dyDescent="0.25">
      <c r="A4" t="s">
        <v>91</v>
      </c>
      <c r="B4">
        <v>200</v>
      </c>
      <c r="C4">
        <f ca="1">SUMIFS(Trade_Journal!Q:Q,Trade_Journal!N:N,TODAY())</f>
        <v>0</v>
      </c>
      <c r="D4" t="str">
        <f ca="1">IF(C4&lt;-ABS(B4),"❌ BREACH","✅ OK")</f>
        <v>✅ OK</v>
      </c>
    </row>
    <row r="5" spans="1:4" x14ac:dyDescent="0.25">
      <c r="A5" t="s">
        <v>92</v>
      </c>
      <c r="B5">
        <v>5</v>
      </c>
      <c r="C5">
        <f>COUNTIF(Trade_Journal!K:K,"OPEN")</f>
        <v>1</v>
      </c>
      <c r="D5" t="str">
        <f>IF(C5&gt;B5,"❌ BREACH","✅ OK")</f>
        <v>✅ OK</v>
      </c>
    </row>
    <row r="6" spans="1:4" x14ac:dyDescent="0.25">
      <c r="A6" t="s">
        <v>93</v>
      </c>
      <c r="B6">
        <v>0.6</v>
      </c>
      <c r="C6">
        <f>MIN(Trade_Journal!J:J)</f>
        <v>0.71</v>
      </c>
      <c r="D6" t="str">
        <f>IF(C6&lt;B6,"❌ BREACH","✅ OK")</f>
        <v>✅ OK</v>
      </c>
    </row>
    <row r="7" spans="1:4" x14ac:dyDescent="0.25">
      <c r="A7" t="s">
        <v>94</v>
      </c>
      <c r="B7">
        <v>-500</v>
      </c>
      <c r="C7">
        <f>MIN(Trade_Journal!Q:Q)</f>
        <v>-9</v>
      </c>
      <c r="D7" t="str">
        <f>IF(C7&lt;B7,"❌ BREACH","✅ OK")</f>
        <v>✅ 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Trade_Journal</vt:lpstr>
      <vt:lpstr>Dashboard</vt:lpstr>
      <vt:lpstr>Formulas_Reference</vt:lpstr>
      <vt:lpstr>Risk_Management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 Duc Hung 20225193</cp:lastModifiedBy>
  <dcterms:created xsi:type="dcterms:W3CDTF">2026-02-13T18:33:52Z</dcterms:created>
  <dcterms:modified xsi:type="dcterms:W3CDTF">2026-02-13T19:04:58Z</dcterms:modified>
</cp:coreProperties>
</file>